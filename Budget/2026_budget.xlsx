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pope2014\Personal\Budget\"/>
    </mc:Choice>
  </mc:AlternateContent>
  <xr:revisionPtr revIDLastSave="0" documentId="13_ncr:1_{C973C7A4-A0E7-4AB3-9E2F-4DF1677B6C74}" xr6:coauthVersionLast="47" xr6:coauthVersionMax="47" xr10:uidLastSave="{00000000-0000-0000-0000-000000000000}"/>
  <bookViews>
    <workbookView xWindow="-57720" yWindow="-5865" windowWidth="29040" windowHeight="15720" activeTab="1" xr2:uid="{8662DAE9-6F6D-4C29-923B-4D87BDD60045}"/>
  </bookViews>
  <sheets>
    <sheet name="Checkings_202601" sheetId="1" r:id="rId1"/>
    <sheet name="Visa_202601" sheetId="2" r:id="rId2"/>
  </sheets>
  <definedNames>
    <definedName name="ExternalData_1" localSheetId="0" hidden="1">'Checkings_202601'!$A$1:$F$20</definedName>
    <definedName name="ExternalData_1" localSheetId="1" hidden="1">Visa_202601!$A$1:$F$98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 a="1"/>
  <c r="I2" i="2" s="1"/>
  <c r="J2" i="2" s="1"/>
  <c r="L11" i="1"/>
  <c r="J9" i="1"/>
  <c r="J7" i="1"/>
  <c r="J6" i="1"/>
  <c r="J5" i="1"/>
  <c r="J4" i="1"/>
  <c r="J2" i="1"/>
  <c r="J6" i="2" l="1"/>
  <c r="J14" i="2"/>
  <c r="J24" i="2"/>
  <c r="J23" i="2"/>
  <c r="J22" i="2"/>
  <c r="J21" i="2"/>
  <c r="J8" i="2"/>
  <c r="J18" i="2"/>
  <c r="J17" i="2"/>
  <c r="J5" i="2"/>
  <c r="J25" i="2"/>
  <c r="J12" i="2"/>
  <c r="J10" i="2"/>
  <c r="J20" i="2"/>
  <c r="J7" i="2"/>
  <c r="J16" i="2"/>
  <c r="J4" i="2"/>
  <c r="J13" i="2"/>
  <c r="J11" i="2"/>
  <c r="J9" i="2"/>
  <c r="J19" i="2"/>
  <c r="J15" i="2"/>
  <c r="J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6DD376-71DF-4FCE-8EA6-C3479FD3E9C7}" keepAlive="1" name="Query - checkings_202601" description="Connection to the 'checkings_202601' query in the workbook." type="5" refreshedVersion="8" background="1" saveData="1">
    <dbPr connection="Provider=Microsoft.Mashup.OleDb.1;Data Source=$Workbook$;Location=checkings_202601;Extended Properties=&quot;&quot;" command="SELECT * FROM [checkings_202601]"/>
  </connection>
  <connection id="2" xr16:uid="{E0F65A84-0325-4523-82DA-2D6752A48750}" keepAlive="1" name="Query - visa_202601" description="Connection to the 'visa_202601' query in the workbook." type="5" refreshedVersion="8" background="1" saveData="1">
    <dbPr connection="Provider=Microsoft.Mashup.OleDb.1;Data Source=$Workbook$;Location=visa_202601;Extended Properties=&quot;&quot;" command="SELECT * FROM [visa_202601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<sst xmlns="http://schemas.openxmlformats.org/spreadsheetml/2006/main" count="485" uniqueCount="201">
  <si>
    <t>Date</t>
  </si>
  <si>
    <t>Description</t>
  </si>
  <si>
    <t>Original Description</t>
  </si>
  <si>
    <t>Category</t>
  </si>
  <si>
    <t>Amount</t>
  </si>
  <si>
    <t>Status</t>
  </si>
  <si>
    <t>Farm Bureau Ins</t>
  </si>
  <si>
    <t>SFB-FARM BUREAU  INS.PREM.  ***********1286</t>
  </si>
  <si>
    <t>Financial</t>
  </si>
  <si>
    <t>Posted</t>
  </si>
  <si>
    <t>USAA Credit Card</t>
  </si>
  <si>
    <t>USAA CREDIT CARD PAYMENT</t>
  </si>
  <si>
    <t>Credit Card Payment</t>
  </si>
  <si>
    <t>Wisenbaker B Osv</t>
  </si>
  <si>
    <t>Wisenbaker B-OSV 0000695711 ***********010d</t>
  </si>
  <si>
    <t>Income</t>
  </si>
  <si>
    <t>Zelle Transfer from Juliann Dalton</t>
  </si>
  <si>
    <t>Zelle: Juliann Dalton</t>
  </si>
  <si>
    <t>SFB-FARM BUREAU  INS.PREM.  ***********1266</t>
  </si>
  <si>
    <t>Interest Paid</t>
  </si>
  <si>
    <t>INTEREST PAID</t>
  </si>
  <si>
    <t>Interest Income</t>
  </si>
  <si>
    <t>Check #1186</t>
  </si>
  <si>
    <t>CHECK # 0000001186</t>
  </si>
  <si>
    <t>Check</t>
  </si>
  <si>
    <t>Transfer to Venmo</t>
  </si>
  <si>
    <t>VENMO            PAYMENT    ***********9472</t>
  </si>
  <si>
    <t>Transfer</t>
  </si>
  <si>
    <t>AT&amp;T</t>
  </si>
  <si>
    <t>ATT*BILL PAYMENT         800-288-2020 TX</t>
  </si>
  <si>
    <t>Bills &amp; Utilities</t>
  </si>
  <si>
    <t>Wisenbaker B-OSV 0000690592 ***********00PW</t>
  </si>
  <si>
    <t>Truist Mortgage</t>
  </si>
  <si>
    <t>TRUIST MORTG     OLB MTGPMT ***********2128</t>
  </si>
  <si>
    <t>Mortgage &amp; Rent</t>
  </si>
  <si>
    <t>Texas Farm Bureau Insurance</t>
  </si>
  <si>
    <t>TX FARM BUREAU   PREMIUMS   ***********3485</t>
  </si>
  <si>
    <t>Murphy USA</t>
  </si>
  <si>
    <t>MURPHY7547ATWALMART      LIVINGSTON   TX</t>
  </si>
  <si>
    <t>Gas</t>
  </si>
  <si>
    <t>Transfer from Venmo</t>
  </si>
  <si>
    <t>VENMO            CASHOUT    ***********4801</t>
  </si>
  <si>
    <t>Ford Motor Credit</t>
  </si>
  <si>
    <t>FORD MOTOR CR    FORDCREDIT ***********7119</t>
  </si>
  <si>
    <t>Auto Payment</t>
  </si>
  <si>
    <t>TurboTax</t>
  </si>
  <si>
    <t>INTUIT *TURBOTAX         CL.INTUIT.COMCA</t>
  </si>
  <si>
    <t>Taxes</t>
  </si>
  <si>
    <t>Google Fi Wireless</t>
  </si>
  <si>
    <t>Google FI RX64z8         650-2530000  CA</t>
  </si>
  <si>
    <t>Mobile Phone</t>
  </si>
  <si>
    <t>Tax Payment</t>
  </si>
  <si>
    <t>US TREAS TAX PYMT        888-658-5465 TN</t>
  </si>
  <si>
    <t>Service Fee</t>
  </si>
  <si>
    <t>SERVICE FEE              888-658-5465 TN</t>
  </si>
  <si>
    <t>Amazon</t>
  </si>
  <si>
    <t>Amazon.com*LB3PD5ZE3     Amzn.com/billWA</t>
  </si>
  <si>
    <t>Shopping</t>
  </si>
  <si>
    <t>Amazon.com*I08WC06E3     Amzn.com/billWA</t>
  </si>
  <si>
    <t>Heart.org</t>
  </si>
  <si>
    <t>AMERICAN HEART SW        HEART.ORG    TX</t>
  </si>
  <si>
    <t>Gifts &amp; Donations</t>
  </si>
  <si>
    <t>H-E-B</t>
  </si>
  <si>
    <t>H-E-B #698               CYPRESS      TX</t>
  </si>
  <si>
    <t>Groceries</t>
  </si>
  <si>
    <t>H-E-B Gas/Carwash</t>
  </si>
  <si>
    <t>H-E-B GAS/CAR WASH#574   TOMBALL      TX</t>
  </si>
  <si>
    <t>USAA CREDIT CARD PAYMENT SAN ANTONIO  TX</t>
  </si>
  <si>
    <t>Target</t>
  </si>
  <si>
    <t>TARGET        00018945   CYPRESS      TX</t>
  </si>
  <si>
    <t>Walmart</t>
  </si>
  <si>
    <t>WALMART.COM 8009256278   800-966-6546 AR</t>
  </si>
  <si>
    <t>H-E-B #574               TOMBALL      TX</t>
  </si>
  <si>
    <t>WALMART.COM              800-925-6278 AR</t>
  </si>
  <si>
    <t>Netflix</t>
  </si>
  <si>
    <t>NETFLIX.COM              NETFLIX.COM  CA</t>
  </si>
  <si>
    <t>Television</t>
  </si>
  <si>
    <t>Chick-fil-A</t>
  </si>
  <si>
    <t>CHICK-FIL-A #04983       HOUSTON      TX</t>
  </si>
  <si>
    <t>Fast Food</t>
  </si>
  <si>
    <t>AMAZON MKTPL*SM3JE5X73   Amzn.com/billWA</t>
  </si>
  <si>
    <t>Portillo's</t>
  </si>
  <si>
    <t>PORTILLO'S TOMBALL #103  TOMBALL      TX</t>
  </si>
  <si>
    <t>WAL-MART #0703           TOMBALL      TX</t>
  </si>
  <si>
    <t>AMAZON MKTPL*KD4589T43   Amzn.com/billWA</t>
  </si>
  <si>
    <t>MURPHY EXPRESS 8669      TOMBALL      TX</t>
  </si>
  <si>
    <t>Costco</t>
  </si>
  <si>
    <t>COSTCO WHSE #1687        TOMBALL      TX</t>
  </si>
  <si>
    <t>Sam's Club</t>
  </si>
  <si>
    <t>SAMSCLUB #4721           HOUSTON      TX</t>
  </si>
  <si>
    <t>Mychart</t>
  </si>
  <si>
    <t>HM MYCHART               877-4933228  TX</t>
  </si>
  <si>
    <t>Doctor</t>
  </si>
  <si>
    <t>AMAZON MKTPL*HG2IS8L43   Amzn.com/billWA</t>
  </si>
  <si>
    <t>WALMART.COM 8009256278   BENTONVILLE  AR</t>
  </si>
  <si>
    <t>WALMART.COM              WALMART.COM  AR</t>
  </si>
  <si>
    <t>Amazon.com*ST7HW6G53     Amzn.com/billWA</t>
  </si>
  <si>
    <t>Amazon.com*V871771L3     Amzn.com/billWA</t>
  </si>
  <si>
    <t>Disney+</t>
  </si>
  <si>
    <t>Disney Plus              888-9057888  CA</t>
  </si>
  <si>
    <t>US Postal Service</t>
  </si>
  <si>
    <t>USPS PO 4890450375       TOMBALL      TX</t>
  </si>
  <si>
    <t>Shipping</t>
  </si>
  <si>
    <t>Arrow Pest Control</t>
  </si>
  <si>
    <t>PY *Arrow Pest Control of713-9432847  TX</t>
  </si>
  <si>
    <t>Home Services</t>
  </si>
  <si>
    <t>H-E-B #656               HOUSTON      TX</t>
  </si>
  <si>
    <t>H-E-B GAS/CARWASH #656   HOUSTON      TX</t>
  </si>
  <si>
    <t>Whitewater Car Wash to</t>
  </si>
  <si>
    <t>WHITEWATER CAR WASH - TO TOMBALL      TX</t>
  </si>
  <si>
    <t>Service &amp; Parts</t>
  </si>
  <si>
    <t>Pestie Eagle Mountaiut</t>
  </si>
  <si>
    <t>SP PESTIE                EAGLE MOUNTAIUT</t>
  </si>
  <si>
    <t>Business Services</t>
  </si>
  <si>
    <t>AMAZON MKTPL*4G5YB6TX3   Amzn.com/billWA</t>
  </si>
  <si>
    <t>Sienergy</t>
  </si>
  <si>
    <t>SIENERGY, LP             281-778-6250 TX</t>
  </si>
  <si>
    <t>Utilities</t>
  </si>
  <si>
    <t>Pestie Checkout Pestut</t>
  </si>
  <si>
    <t>SP PESTIE                CHECKOUT.PESTUT</t>
  </si>
  <si>
    <t>Gringo's Mexican No</t>
  </si>
  <si>
    <t>GRINGO'S MEXICAN NO.10   CYPRESS      TX</t>
  </si>
  <si>
    <t>Restaurants</t>
  </si>
  <si>
    <t>Panera Bread</t>
  </si>
  <si>
    <t>PANERA BREAD #606324 P   SAN MARCOS   TX</t>
  </si>
  <si>
    <t>Taco Bell</t>
  </si>
  <si>
    <t>TACO BELL #030160        GIDDINGS     TX</t>
  </si>
  <si>
    <t>WM SUPERCENTER #5045 TOMBALL  TX  CREDIT</t>
  </si>
  <si>
    <t>AMAZON MKTPL*RG5VP2VX3   Amzn.com/billWA</t>
  </si>
  <si>
    <t>SchoolCafé</t>
  </si>
  <si>
    <t>SchoolCafe               855-7292328  TX</t>
  </si>
  <si>
    <t>Food &amp; Dining</t>
  </si>
  <si>
    <t>Take 5</t>
  </si>
  <si>
    <t>TAKE 5 #416              TOMBALL      TX</t>
  </si>
  <si>
    <t>Auto &amp; Transport</t>
  </si>
  <si>
    <t>WALMART.COM WALMART.COM  AR       CREDIT</t>
  </si>
  <si>
    <t>Starbucks</t>
  </si>
  <si>
    <t>STARBUCKS STORE 59761    VICKSBURG    MS</t>
  </si>
  <si>
    <t>Coffee Shops</t>
  </si>
  <si>
    <t>AMAZON MKTPL*0K6W52C83   Amzn.com/billWA</t>
  </si>
  <si>
    <t>Donut Palace</t>
  </si>
  <si>
    <t>SQ *DONUT PALACE         CLINTON      MS</t>
  </si>
  <si>
    <t>Pix &amp; Pins</t>
  </si>
  <si>
    <t>TST*PIX &amp; PINS           Jackson      MS</t>
  </si>
  <si>
    <t>Kroger</t>
  </si>
  <si>
    <t>KROGER #594              SPRING HILL  TN</t>
  </si>
  <si>
    <t>Aladdin Mediterranean</t>
  </si>
  <si>
    <t>ALADDIN MEDITERRANEAN GRIJACKSON      MS</t>
  </si>
  <si>
    <t>North Italia</t>
  </si>
  <si>
    <t>NORTH ITALIA FRANKLIN    FRANKLIN     TN</t>
  </si>
  <si>
    <t>Scooter's Coffee</t>
  </si>
  <si>
    <t>SCOOTERS COFFEE          ATHENS       AL</t>
  </si>
  <si>
    <t>Buc-ee's</t>
  </si>
  <si>
    <t>BUC-EE'S #0057           ATHENS       AL</t>
  </si>
  <si>
    <t>Jeni's Splendid Ice Creams</t>
  </si>
  <si>
    <t>TST* JENI'S SPLENDID ICE FRANKLIN     TN</t>
  </si>
  <si>
    <t>Expedia</t>
  </si>
  <si>
    <t>EXPEDIA 73341304722657   EXPEDIA.COM  WA</t>
  </si>
  <si>
    <t>Travel</t>
  </si>
  <si>
    <t>WM SUPERCENTER #1510     859-282-8333 KY</t>
  </si>
  <si>
    <t>BUC-EE'S #0056           SMITH'S GROVEKY</t>
  </si>
  <si>
    <t>Funny Farm Coffee Comlawrenceburg in</t>
  </si>
  <si>
    <t>SQ *FUNNY FARM COFFEE COMLawrenceburg IN</t>
  </si>
  <si>
    <t>Ark Encounter</t>
  </si>
  <si>
    <t>ARK ENCOUNTER            WILLIAMSTOWN KY</t>
  </si>
  <si>
    <t>Entertainment</t>
  </si>
  <si>
    <t>EXPEDIA 72069643794787   EXPEDIA.COM  WA</t>
  </si>
  <si>
    <t>TARGET        00012005   FLORENCE     KY</t>
  </si>
  <si>
    <t>Ark Encounter Online</t>
  </si>
  <si>
    <t>ARK ENCOUNTER ONLINE     859-727-2222 KY</t>
  </si>
  <si>
    <t>STARBUCKS STORE 23875    LENOIR CITY  TN</t>
  </si>
  <si>
    <t>BUC-EE'S #0055           RICHMOND     KY</t>
  </si>
  <si>
    <t>The Dogwood Blue</t>
  </si>
  <si>
    <t>TST*THE DOGWOOD          Blue Ridge   GA</t>
  </si>
  <si>
    <t>ExxonMobil</t>
  </si>
  <si>
    <t>EXXON AVON               MADISONVILLE TN</t>
  </si>
  <si>
    <t>Seasons 52</t>
  </si>
  <si>
    <t>SEASONS 52 EC 0074535    513-631-5252 OH</t>
  </si>
  <si>
    <t>CHICK-FIL-A #02593       FLORENCE     KY</t>
  </si>
  <si>
    <t>Dick's Sporting Goods</t>
  </si>
  <si>
    <t>Dicks Sporting Goods     Florence     KY</t>
  </si>
  <si>
    <t>Sporting Goods</t>
  </si>
  <si>
    <t>Peacock TV</t>
  </si>
  <si>
    <t>Peacock X3735 Premium    212-6640138  NY</t>
  </si>
  <si>
    <t>Ladybird Taco Mounmountain Brooal</t>
  </si>
  <si>
    <t>TST* LADYBIRD TACO - MOUNMOUNTAIN BROOAL</t>
  </si>
  <si>
    <t>Fee</t>
  </si>
  <si>
    <t>MDS Fee                  855-2703592  AZ</t>
  </si>
  <si>
    <t>Fees &amp; Charges</t>
  </si>
  <si>
    <t>Harris County Mud</t>
  </si>
  <si>
    <t>FBS HARRIS COUNTY MUD 542855-2703592  TX</t>
  </si>
  <si>
    <t>BUC-EE'S #0052           CALHOUN      GA</t>
  </si>
  <si>
    <t>Academy Sports + Outdoors</t>
  </si>
  <si>
    <t>ACADEMY SPORTS #160      TUSCALOOSA   AL</t>
  </si>
  <si>
    <t>STARBUCKS 67109          MERIDIAN     MS</t>
  </si>
  <si>
    <t>Auto Loan</t>
  </si>
  <si>
    <t>Mortgage</t>
  </si>
  <si>
    <t>Phone</t>
  </si>
  <si>
    <t>Farm Bureau Insurance</t>
  </si>
  <si>
    <t>Credit Card Payments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</si>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</sst>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E408029-01F5-4DD9-A2E4-581D836EB30E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Description" tableColumnId="2"/>
      <queryTableField id="3" name="Original Description" tableColumnId="3"/>
      <queryTableField id="4" name="Category" tableColumnId="4"/>
      <queryTableField id="5" name="Amount" tableColumnId="5"/>
      <queryTableField id="6" name="Statu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9E072CF-F780-4050-87FD-5A437356FC08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Description" tableColumnId="2"/>
      <queryTableField id="3" name="Original Description" tableColumnId="3"/>
      <queryTableField id="4" name="Category" tableColumnId="4"/>
      <queryTableField id="5" name="Amount" tableColumnId="5"/>
      <queryTableField id="6" name="Statu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DBE8BB-1A25-46B5-9671-2F206D1A7EB3}" name="checkings_202601" displayName="checkings_202601" ref="A1:F20" tableType="queryTable" totalsRowShown="0">
  <autoFilter ref="A1:F20" xr:uid="{E7DBE8BB-1A25-46B5-9671-2F206D1A7EB3}"/>
  <tableColumns count="6">
    <tableColumn id="1" xr3:uid="{FF7E3916-8B82-4DEB-908C-DA4C0F6412A2}" uniqueName="1" name="Date" queryTableFieldId="1" dataDxfId="9"/>
    <tableColumn id="2" xr3:uid="{2679042C-CC63-4B14-A4DA-43F731F50990}" uniqueName="2" name="Description" queryTableFieldId="2" dataDxfId="8"/>
    <tableColumn id="3" xr3:uid="{3760BA22-7DEB-469E-9A4B-68957F205450}" uniqueName="3" name="Original Description" queryTableFieldId="3" dataDxfId="7"/>
    <tableColumn id="4" xr3:uid="{FE727C12-53FB-4DCD-BF1F-4E1B4BFE9F7E}" uniqueName="4" name="Category" queryTableFieldId="4" dataDxfId="6"/>
    <tableColumn id="5" xr3:uid="{D0691392-5D3E-4C60-9353-8428D5A32295}" uniqueName="5" name="Amount" queryTableFieldId="5"/>
    <tableColumn id="6" xr3:uid="{6AA13F6D-20ED-4387-BC71-F738CC323251}" uniqueName="6" name="Status" queryTableFieldId="6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58CD85-0DE1-4D2D-8C5E-54F0B76D26D9}" name="visa_202601" displayName="visa_202601" ref="A1:F98" tableType="queryTable" totalsRowShown="0">
  <autoFilter ref="A1:F98" xr:uid="{F658CD85-0DE1-4D2D-8C5E-54F0B76D26D9}"/>
  <tableColumns count="6">
    <tableColumn id="1" xr3:uid="{D857744F-5242-49D9-B855-710F291C33DC}" uniqueName="1" name="Date" queryTableFieldId="1" dataDxfId="4"/>
    <tableColumn id="2" xr3:uid="{162E7A43-2CA4-43B4-AF5E-EFDFA3C6D8AC}" uniqueName="2" name="Description" queryTableFieldId="2" dataDxfId="3"/>
    <tableColumn id="3" xr3:uid="{5F7D151B-B8A5-485F-8EF8-16B15ED2E747}" uniqueName="3" name="Original Description" queryTableFieldId="3" dataDxfId="2"/>
    <tableColumn id="4" xr3:uid="{81DA7928-B5B6-40E8-9C95-8322CAFF2B7D}" uniqueName="4" name="Category" queryTableFieldId="4" dataDxfId="1"/>
    <tableColumn id="5" xr3:uid="{53D69D55-7C52-4B92-B77A-DD75E2AD0DD4}" uniqueName="5" name="Amount" queryTableFieldId="5"/>
    <tableColumn id="6" xr3:uid="{3994B972-8264-4E2E-B868-D1B426997C90}" uniqueName="6" name="Status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0EBF4-0050-4612-AD5B-361402D3DC07}">
  <dimension ref="A1:L20"/>
  <sheetViews>
    <sheetView workbookViewId="0">
      <selection activeCell="L6" sqref="L6"/>
    </sheetView>
  </sheetViews>
  <sheetFormatPr defaultRowHeight="14.4" x14ac:dyDescent="0.3"/>
  <cols>
    <col min="1" max="1" width="9.33203125" bestFit="1" customWidth="1"/>
    <col min="2" max="2" width="30.44140625" bestFit="1" customWidth="1"/>
    <col min="3" max="3" width="43.88671875" bestFit="1" customWidth="1"/>
    <col min="4" max="4" width="18.44140625" bestFit="1" customWidth="1"/>
    <col min="5" max="5" width="10" bestFit="1" customWidth="1"/>
    <col min="6" max="6" width="8.77734375" bestFit="1" customWidth="1"/>
    <col min="9" max="9" width="22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x14ac:dyDescent="0.3">
      <c r="A2" s="1">
        <v>46052</v>
      </c>
      <c r="B2" s="2" t="s">
        <v>6</v>
      </c>
      <c r="C2" s="2" t="s">
        <v>7</v>
      </c>
      <c r="D2" s="2" t="s">
        <v>8</v>
      </c>
      <c r="E2">
        <v>-43.11</v>
      </c>
      <c r="F2" s="2" t="s">
        <v>9</v>
      </c>
      <c r="I2" t="s">
        <v>15</v>
      </c>
      <c r="J2">
        <f>SUMIF(checkings_202601[Category], "Income*", checkings_202601[Amount])</f>
        <v>7889.24</v>
      </c>
    </row>
    <row r="3" spans="1:12" x14ac:dyDescent="0.3">
      <c r="A3" s="1">
        <v>46051</v>
      </c>
      <c r="B3" s="2" t="s">
        <v>10</v>
      </c>
      <c r="C3" s="2" t="s">
        <v>11</v>
      </c>
      <c r="D3" s="2" t="s">
        <v>12</v>
      </c>
      <c r="E3">
        <v>-1063.47</v>
      </c>
      <c r="F3" s="2" t="s">
        <v>9</v>
      </c>
    </row>
    <row r="4" spans="1:12" x14ac:dyDescent="0.3">
      <c r="A4" s="1">
        <v>46051</v>
      </c>
      <c r="B4" s="2" t="s">
        <v>13</v>
      </c>
      <c r="C4" s="2" t="s">
        <v>14</v>
      </c>
      <c r="D4" s="2" t="s">
        <v>15</v>
      </c>
      <c r="E4">
        <v>3341.58</v>
      </c>
      <c r="F4" s="2" t="s">
        <v>9</v>
      </c>
      <c r="I4" t="s">
        <v>195</v>
      </c>
      <c r="J4">
        <f>SUMIF(checkings_202601[Original Description],"*FORDCREDIT*", checkings_202601[Amount])</f>
        <v>-398.94</v>
      </c>
    </row>
    <row r="5" spans="1:12" x14ac:dyDescent="0.3">
      <c r="A5" s="1">
        <v>46051</v>
      </c>
      <c r="B5" s="2" t="s">
        <v>16</v>
      </c>
      <c r="C5" s="2" t="s">
        <v>17</v>
      </c>
      <c r="D5" s="2" t="s">
        <v>15</v>
      </c>
      <c r="E5">
        <v>104.48</v>
      </c>
      <c r="F5" s="2" t="s">
        <v>9</v>
      </c>
      <c r="I5" t="s">
        <v>196</v>
      </c>
      <c r="J5">
        <f>SUMIF(checkings_202601[Original Description], "*TRUIST MORTG*", checkings_202601[Amount])</f>
        <v>-2095.12</v>
      </c>
    </row>
    <row r="6" spans="1:12" x14ac:dyDescent="0.3">
      <c r="A6" s="1">
        <v>46050</v>
      </c>
      <c r="B6" s="2" t="s">
        <v>6</v>
      </c>
      <c r="C6" s="2" t="s">
        <v>18</v>
      </c>
      <c r="D6" s="2" t="s">
        <v>8</v>
      </c>
      <c r="E6">
        <v>-43.71</v>
      </c>
      <c r="F6" s="2" t="s">
        <v>9</v>
      </c>
      <c r="I6" t="s">
        <v>197</v>
      </c>
      <c r="J6">
        <f>SUMIF(checkings_202601[Original Description],"*ATT*BILL PAYMENT*", checkings_202601[Amount])</f>
        <v>-85.74</v>
      </c>
    </row>
    <row r="7" spans="1:12" x14ac:dyDescent="0.3">
      <c r="A7" s="1">
        <v>46049</v>
      </c>
      <c r="B7" s="2" t="s">
        <v>19</v>
      </c>
      <c r="C7" s="2" t="s">
        <v>20</v>
      </c>
      <c r="D7" s="2" t="s">
        <v>21</v>
      </c>
      <c r="E7">
        <v>0.02</v>
      </c>
      <c r="F7" s="2" t="s">
        <v>9</v>
      </c>
      <c r="I7" t="s">
        <v>198</v>
      </c>
      <c r="J7">
        <f>SUMIF(checkings_202601[Original Description],"*FARM BUREAU*", checkings_202601[Amount])</f>
        <v>-377.38</v>
      </c>
    </row>
    <row r="8" spans="1:12" x14ac:dyDescent="0.3">
      <c r="A8" s="1">
        <v>46043</v>
      </c>
      <c r="B8" s="2" t="s">
        <v>22</v>
      </c>
      <c r="C8" s="2" t="s">
        <v>23</v>
      </c>
      <c r="D8" s="2" t="s">
        <v>24</v>
      </c>
      <c r="E8">
        <v>-250</v>
      </c>
      <c r="F8" s="2" t="s">
        <v>9</v>
      </c>
    </row>
    <row r="9" spans="1:12" x14ac:dyDescent="0.3">
      <c r="A9" s="1">
        <v>46043</v>
      </c>
      <c r="B9" s="2" t="s">
        <v>16</v>
      </c>
      <c r="C9" s="2" t="s">
        <v>17</v>
      </c>
      <c r="D9" s="2" t="s">
        <v>15</v>
      </c>
      <c r="E9">
        <v>142.77000000000001</v>
      </c>
      <c r="F9" s="2" t="s">
        <v>9</v>
      </c>
      <c r="I9" t="s">
        <v>199</v>
      </c>
      <c r="J9">
        <f>SUMIF(checkings_202601[Category], "*Credit Card Payment*", checkings_202601[Amount])</f>
        <v>-5985.84</v>
      </c>
    </row>
    <row r="10" spans="1:12" x14ac:dyDescent="0.3">
      <c r="A10" s="1">
        <v>46042</v>
      </c>
      <c r="B10" s="2" t="s">
        <v>25</v>
      </c>
      <c r="C10" s="2" t="s">
        <v>26</v>
      </c>
      <c r="D10" s="2" t="s">
        <v>27</v>
      </c>
      <c r="E10">
        <v>-10</v>
      </c>
      <c r="F10" s="2" t="s">
        <v>9</v>
      </c>
    </row>
    <row r="11" spans="1:12" x14ac:dyDescent="0.3">
      <c r="A11" s="1">
        <v>46042</v>
      </c>
      <c r="B11" s="2" t="s">
        <v>28</v>
      </c>
      <c r="C11" s="2" t="s">
        <v>29</v>
      </c>
      <c r="D11" s="2" t="s">
        <v>30</v>
      </c>
      <c r="E11">
        <v>-85.74</v>
      </c>
      <c r="F11" s="2" t="s">
        <v>9</v>
      </c>
      <c r="K11" t="s">
        <v>200</v>
      </c>
      <c r="L11">
        <f>SUM(checkings_202601[Amount])</f>
        <v>-636.94999999999982</v>
      </c>
    </row>
    <row r="12" spans="1:12" x14ac:dyDescent="0.3">
      <c r="A12" s="1">
        <v>46038</v>
      </c>
      <c r="B12" s="2" t="s">
        <v>16</v>
      </c>
      <c r="C12" s="2" t="s">
        <v>17</v>
      </c>
      <c r="D12" s="2" t="s">
        <v>15</v>
      </c>
      <c r="E12">
        <v>958.83</v>
      </c>
      <c r="F12" s="2" t="s">
        <v>9</v>
      </c>
    </row>
    <row r="13" spans="1:12" x14ac:dyDescent="0.3">
      <c r="A13" s="1">
        <v>46036</v>
      </c>
      <c r="B13" s="2" t="s">
        <v>10</v>
      </c>
      <c r="C13" s="2" t="s">
        <v>11</v>
      </c>
      <c r="D13" s="2" t="s">
        <v>12</v>
      </c>
      <c r="E13">
        <v>-2984.25</v>
      </c>
      <c r="F13" s="2" t="s">
        <v>9</v>
      </c>
    </row>
    <row r="14" spans="1:12" x14ac:dyDescent="0.3">
      <c r="A14" s="1">
        <v>46036</v>
      </c>
      <c r="B14" s="2" t="s">
        <v>13</v>
      </c>
      <c r="C14" s="2" t="s">
        <v>31</v>
      </c>
      <c r="D14" s="2" t="s">
        <v>15</v>
      </c>
      <c r="E14">
        <v>3341.58</v>
      </c>
      <c r="F14" s="2" t="s">
        <v>9</v>
      </c>
    </row>
    <row r="15" spans="1:12" x14ac:dyDescent="0.3">
      <c r="A15" s="1">
        <v>46028</v>
      </c>
      <c r="B15" s="2" t="s">
        <v>32</v>
      </c>
      <c r="C15" s="2" t="s">
        <v>33</v>
      </c>
      <c r="D15" s="2" t="s">
        <v>34</v>
      </c>
      <c r="E15">
        <v>-2095.12</v>
      </c>
      <c r="F15" s="2" t="s">
        <v>9</v>
      </c>
    </row>
    <row r="16" spans="1:12" x14ac:dyDescent="0.3">
      <c r="A16" s="1">
        <v>46028</v>
      </c>
      <c r="B16" s="2" t="s">
        <v>10</v>
      </c>
      <c r="C16" s="2" t="s">
        <v>11</v>
      </c>
      <c r="D16" s="2" t="s">
        <v>12</v>
      </c>
      <c r="E16">
        <v>-1938.12</v>
      </c>
      <c r="F16" s="2" t="s">
        <v>9</v>
      </c>
    </row>
    <row r="17" spans="1:6" x14ac:dyDescent="0.3">
      <c r="A17" s="1">
        <v>46027</v>
      </c>
      <c r="B17" s="2" t="s">
        <v>35</v>
      </c>
      <c r="C17" s="2" t="s">
        <v>36</v>
      </c>
      <c r="D17" s="2" t="s">
        <v>8</v>
      </c>
      <c r="E17">
        <v>-290.56</v>
      </c>
      <c r="F17" s="2" t="s">
        <v>9</v>
      </c>
    </row>
    <row r="18" spans="1:6" x14ac:dyDescent="0.3">
      <c r="A18" s="1">
        <v>46027</v>
      </c>
      <c r="B18" s="2" t="s">
        <v>37</v>
      </c>
      <c r="C18" s="2" t="s">
        <v>38</v>
      </c>
      <c r="D18" s="2" t="s">
        <v>39</v>
      </c>
      <c r="E18">
        <v>-65.69</v>
      </c>
      <c r="F18" s="2" t="s">
        <v>9</v>
      </c>
    </row>
    <row r="19" spans="1:6" x14ac:dyDescent="0.3">
      <c r="A19" s="1">
        <v>46027</v>
      </c>
      <c r="B19" s="2" t="s">
        <v>40</v>
      </c>
      <c r="C19" s="2" t="s">
        <v>41</v>
      </c>
      <c r="D19" s="2" t="s">
        <v>27</v>
      </c>
      <c r="E19">
        <v>742.5</v>
      </c>
      <c r="F19" s="2" t="s">
        <v>9</v>
      </c>
    </row>
    <row r="20" spans="1:6" x14ac:dyDescent="0.3">
      <c r="A20" s="1">
        <v>46024</v>
      </c>
      <c r="B20" s="2" t="s">
        <v>42</v>
      </c>
      <c r="C20" s="2" t="s">
        <v>43</v>
      </c>
      <c r="D20" s="2" t="s">
        <v>44</v>
      </c>
      <c r="E20">
        <v>-398.94</v>
      </c>
      <c r="F20" s="2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A65AB-7F48-4003-B373-AE53AD0AC469}">
  <dimension ref="A1:J98"/>
  <sheetViews>
    <sheetView tabSelected="1" workbookViewId="0">
      <selection activeCell="J25" sqref="J25"/>
    </sheetView>
  </sheetViews>
  <sheetFormatPr defaultRowHeight="14.4" x14ac:dyDescent="0.3"/>
  <cols>
    <col min="1" max="1" width="9.33203125" bestFit="1" customWidth="1"/>
    <col min="2" max="2" width="35.5546875" bestFit="1" customWidth="1"/>
    <col min="3" max="3" width="43.5546875" bestFit="1" customWidth="1"/>
    <col min="4" max="4" width="18.44140625" bestFit="1" customWidth="1"/>
    <col min="5" max="5" width="10" bestFit="1" customWidth="1"/>
    <col min="6" max="6" width="8.77734375" bestFit="1" customWidth="1"/>
    <col min="9" max="9" width="18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t="s">
        <v>3</v>
      </c>
      <c r="J1" t="s">
        <v>4</v>
      </c>
    </row>
    <row r="2" spans="1:10" x14ac:dyDescent="0.3">
      <c r="A2" s="1">
        <v>46053</v>
      </c>
      <c r="B2" s="2" t="s">
        <v>45</v>
      </c>
      <c r="C2" s="2" t="s">
        <v>46</v>
      </c>
      <c r="D2" s="2" t="s">
        <v>47</v>
      </c>
      <c r="E2">
        <v>52.23</v>
      </c>
      <c r="F2" s="2" t="s">
        <v>9</v>
      </c>
      <c r="I2" t="str" cm="1">
        <f t="array" ref="I2:I25">_xlfn.UNIQUE((visa_202601[Category]))</f>
        <v>Taxes</v>
      </c>
      <c r="J2">
        <f>SUMIF(visa_202601[Category], $I2, visa_202601[Amount])</f>
        <v>288.23</v>
      </c>
    </row>
    <row r="3" spans="1:10" x14ac:dyDescent="0.3">
      <c r="A3" s="1">
        <v>46053</v>
      </c>
      <c r="B3" s="2" t="s">
        <v>48</v>
      </c>
      <c r="C3" s="2" t="s">
        <v>49</v>
      </c>
      <c r="D3" s="2" t="s">
        <v>50</v>
      </c>
      <c r="E3">
        <v>67.180000000000007</v>
      </c>
      <c r="F3" s="2" t="s">
        <v>9</v>
      </c>
      <c r="I3" t="str">
        <v>Mobile Phone</v>
      </c>
      <c r="J3">
        <f>SUMIF(visa_202601[Category], $I3, visa_202601[Amount])</f>
        <v>67.180000000000007</v>
      </c>
    </row>
    <row r="4" spans="1:10" x14ac:dyDescent="0.3">
      <c r="A4" s="1">
        <v>46053</v>
      </c>
      <c r="B4" s="2" t="s">
        <v>51</v>
      </c>
      <c r="C4" s="2" t="s">
        <v>52</v>
      </c>
      <c r="D4" s="2" t="s">
        <v>47</v>
      </c>
      <c r="E4">
        <v>236</v>
      </c>
      <c r="F4" s="2" t="s">
        <v>9</v>
      </c>
      <c r="I4" t="str">
        <v>Service Fee</v>
      </c>
      <c r="J4">
        <f>SUMIF(visa_202601[Category], $I4, visa_202601[Amount])</f>
        <v>5.88</v>
      </c>
    </row>
    <row r="5" spans="1:10" x14ac:dyDescent="0.3">
      <c r="A5" s="1">
        <v>46053</v>
      </c>
      <c r="B5" s="2" t="s">
        <v>53</v>
      </c>
      <c r="C5" s="2" t="s">
        <v>54</v>
      </c>
      <c r="D5" s="2" t="s">
        <v>53</v>
      </c>
      <c r="E5">
        <v>5.88</v>
      </c>
      <c r="F5" s="2" t="s">
        <v>9</v>
      </c>
      <c r="I5" t="str">
        <v>Shopping</v>
      </c>
      <c r="J5">
        <f>SUMIF(visa_202601[Category], $I5, visa_202601[Amount])</f>
        <v>1134.8300000000002</v>
      </c>
    </row>
    <row r="6" spans="1:10" x14ac:dyDescent="0.3">
      <c r="A6" s="1">
        <v>46052</v>
      </c>
      <c r="B6" s="2" t="s">
        <v>55</v>
      </c>
      <c r="C6" s="2" t="s">
        <v>56</v>
      </c>
      <c r="D6" s="2" t="s">
        <v>57</v>
      </c>
      <c r="E6">
        <v>52.27</v>
      </c>
      <c r="F6" s="2" t="s">
        <v>9</v>
      </c>
      <c r="I6" t="str">
        <v>Gifts &amp; Donations</v>
      </c>
      <c r="J6">
        <f>SUMIF(visa_202601[Category], $I6, visa_202601[Amount])</f>
        <v>10.58</v>
      </c>
    </row>
    <row r="7" spans="1:10" x14ac:dyDescent="0.3">
      <c r="A7" s="1">
        <v>46052</v>
      </c>
      <c r="B7" s="2" t="s">
        <v>55</v>
      </c>
      <c r="C7" s="2" t="s">
        <v>58</v>
      </c>
      <c r="D7" s="2" t="s">
        <v>57</v>
      </c>
      <c r="E7">
        <v>16.52</v>
      </c>
      <c r="F7" s="2" t="s">
        <v>9</v>
      </c>
      <c r="I7" t="str">
        <v>Groceries</v>
      </c>
      <c r="J7">
        <f>SUMIF(visa_202601[Category], $I7, visa_202601[Amount])</f>
        <v>368.12000000000006</v>
      </c>
    </row>
    <row r="8" spans="1:10" x14ac:dyDescent="0.3">
      <c r="A8" s="1">
        <v>46052</v>
      </c>
      <c r="B8" s="2" t="s">
        <v>59</v>
      </c>
      <c r="C8" s="2" t="s">
        <v>60</v>
      </c>
      <c r="D8" s="2" t="s">
        <v>61</v>
      </c>
      <c r="E8">
        <v>10.58</v>
      </c>
      <c r="F8" s="2" t="s">
        <v>9</v>
      </c>
      <c r="I8" t="str">
        <v>Gas</v>
      </c>
      <c r="J8">
        <f>SUMIF(visa_202601[Category], $I8, visa_202601[Amount])</f>
        <v>299.95999999999998</v>
      </c>
    </row>
    <row r="9" spans="1:10" x14ac:dyDescent="0.3">
      <c r="A9" s="1">
        <v>46052</v>
      </c>
      <c r="B9" s="2" t="s">
        <v>62</v>
      </c>
      <c r="C9" s="2" t="s">
        <v>63</v>
      </c>
      <c r="D9" s="2" t="s">
        <v>64</v>
      </c>
      <c r="E9">
        <v>81.83</v>
      </c>
      <c r="F9" s="2" t="s">
        <v>9</v>
      </c>
      <c r="I9" t="str">
        <v>Credit Card Payment</v>
      </c>
      <c r="J9">
        <f>SUMIF(visa_202601[Category], $I9, visa_202601[Amount])</f>
        <v>-5985.84</v>
      </c>
    </row>
    <row r="10" spans="1:10" x14ac:dyDescent="0.3">
      <c r="A10" s="1">
        <v>46052</v>
      </c>
      <c r="B10" s="2" t="s">
        <v>65</v>
      </c>
      <c r="C10" s="2" t="s">
        <v>66</v>
      </c>
      <c r="D10" s="2" t="s">
        <v>39</v>
      </c>
      <c r="E10">
        <v>36.14</v>
      </c>
      <c r="F10" s="2" t="s">
        <v>9</v>
      </c>
      <c r="I10" t="str">
        <v>Television</v>
      </c>
      <c r="J10">
        <f>SUMIF(visa_202601[Category], $I10, visa_202601[Amount])</f>
        <v>34.58</v>
      </c>
    </row>
    <row r="11" spans="1:10" x14ac:dyDescent="0.3">
      <c r="A11" s="1">
        <v>46051</v>
      </c>
      <c r="B11" s="2" t="s">
        <v>10</v>
      </c>
      <c r="C11" s="2" t="s">
        <v>67</v>
      </c>
      <c r="D11" s="2" t="s">
        <v>12</v>
      </c>
      <c r="E11">
        <v>-1063.47</v>
      </c>
      <c r="F11" s="2" t="s">
        <v>9</v>
      </c>
      <c r="I11" t="str">
        <v>Fast Food</v>
      </c>
      <c r="J11">
        <f>SUMIF(visa_202601[Category], $I11, visa_202601[Amount])</f>
        <v>201.60999999999999</v>
      </c>
    </row>
    <row r="12" spans="1:10" x14ac:dyDescent="0.3">
      <c r="A12" s="1">
        <v>46051</v>
      </c>
      <c r="B12" s="2" t="s">
        <v>68</v>
      </c>
      <c r="C12" s="2" t="s">
        <v>69</v>
      </c>
      <c r="D12" s="2" t="s">
        <v>57</v>
      </c>
      <c r="E12">
        <v>5.28</v>
      </c>
      <c r="F12" s="2" t="s">
        <v>9</v>
      </c>
      <c r="I12" t="str">
        <v>Doctor</v>
      </c>
      <c r="J12">
        <f>SUMIF(visa_202601[Category], $I12, visa_202601[Amount])</f>
        <v>183.89</v>
      </c>
    </row>
    <row r="13" spans="1:10" x14ac:dyDescent="0.3">
      <c r="A13" s="1">
        <v>46051</v>
      </c>
      <c r="B13" s="2" t="s">
        <v>68</v>
      </c>
      <c r="C13" s="2" t="s">
        <v>69</v>
      </c>
      <c r="D13" s="2" t="s">
        <v>57</v>
      </c>
      <c r="E13">
        <v>104.48</v>
      </c>
      <c r="F13" s="2" t="s">
        <v>9</v>
      </c>
      <c r="I13" t="str">
        <v>Shipping</v>
      </c>
      <c r="J13">
        <f>SUMIF(visa_202601[Category], $I13, visa_202601[Amount])</f>
        <v>8.8000000000000007</v>
      </c>
    </row>
    <row r="14" spans="1:10" x14ac:dyDescent="0.3">
      <c r="A14" s="1">
        <v>46050</v>
      </c>
      <c r="B14" s="2" t="s">
        <v>70</v>
      </c>
      <c r="C14" s="2" t="s">
        <v>71</v>
      </c>
      <c r="D14" s="2" t="s">
        <v>57</v>
      </c>
      <c r="E14">
        <v>24.42</v>
      </c>
      <c r="F14" s="2" t="s">
        <v>9</v>
      </c>
      <c r="I14" t="str">
        <v>Home Services</v>
      </c>
      <c r="J14">
        <f>SUMIF(visa_202601[Category], $I14, visa_202601[Amount])</f>
        <v>40.03</v>
      </c>
    </row>
    <row r="15" spans="1:10" x14ac:dyDescent="0.3">
      <c r="A15" s="1">
        <v>46050</v>
      </c>
      <c r="B15" s="2" t="s">
        <v>62</v>
      </c>
      <c r="C15" s="2" t="s">
        <v>72</v>
      </c>
      <c r="D15" s="2" t="s">
        <v>64</v>
      </c>
      <c r="E15">
        <v>53.84</v>
      </c>
      <c r="F15" s="2" t="s">
        <v>9</v>
      </c>
      <c r="I15" t="str">
        <v>Service &amp; Parts</v>
      </c>
      <c r="J15">
        <f>SUMIF(visa_202601[Category], $I15, visa_202601[Amount])</f>
        <v>10</v>
      </c>
    </row>
    <row r="16" spans="1:10" x14ac:dyDescent="0.3">
      <c r="A16" s="1">
        <v>46050</v>
      </c>
      <c r="B16" s="2" t="s">
        <v>70</v>
      </c>
      <c r="C16" s="2" t="s">
        <v>73</v>
      </c>
      <c r="D16" s="2" t="s">
        <v>57</v>
      </c>
      <c r="E16">
        <v>100.22</v>
      </c>
      <c r="F16" s="2" t="s">
        <v>9</v>
      </c>
      <c r="I16" t="str">
        <v>Business Services</v>
      </c>
      <c r="J16">
        <f>SUMIF(visa_202601[Category], $I16, visa_202601[Amount])</f>
        <v>0</v>
      </c>
    </row>
    <row r="17" spans="1:10" x14ac:dyDescent="0.3">
      <c r="A17" s="1">
        <v>46049</v>
      </c>
      <c r="B17" s="2" t="s">
        <v>74</v>
      </c>
      <c r="C17" s="2" t="s">
        <v>75</v>
      </c>
      <c r="D17" s="2" t="s">
        <v>76</v>
      </c>
      <c r="E17">
        <v>8.65</v>
      </c>
      <c r="F17" s="2" t="s">
        <v>9</v>
      </c>
      <c r="I17" t="str">
        <v>Utilities</v>
      </c>
      <c r="J17">
        <f>SUMIF(visa_202601[Category], $I17, visa_202601[Amount])</f>
        <v>109.47</v>
      </c>
    </row>
    <row r="18" spans="1:10" x14ac:dyDescent="0.3">
      <c r="A18" s="1">
        <v>46049</v>
      </c>
      <c r="B18" s="2" t="s">
        <v>77</v>
      </c>
      <c r="C18" s="2" t="s">
        <v>78</v>
      </c>
      <c r="D18" s="2" t="s">
        <v>79</v>
      </c>
      <c r="E18">
        <v>2.48</v>
      </c>
      <c r="F18" s="2" t="s">
        <v>9</v>
      </c>
      <c r="I18" t="str">
        <v>Restaurants</v>
      </c>
      <c r="J18">
        <f>SUMIF(visa_202601[Category], $I18, visa_202601[Amount])</f>
        <v>311.45000000000005</v>
      </c>
    </row>
    <row r="19" spans="1:10" x14ac:dyDescent="0.3">
      <c r="A19" s="1">
        <v>46048</v>
      </c>
      <c r="B19" s="2" t="s">
        <v>55</v>
      </c>
      <c r="C19" s="2" t="s">
        <v>80</v>
      </c>
      <c r="D19" s="2" t="s">
        <v>57</v>
      </c>
      <c r="E19">
        <v>46.54</v>
      </c>
      <c r="F19" s="2" t="s">
        <v>9</v>
      </c>
      <c r="I19" t="str">
        <v>Food &amp; Dining</v>
      </c>
      <c r="J19">
        <f>SUMIF(visa_202601[Category], $I19, visa_202601[Amount])</f>
        <v>39</v>
      </c>
    </row>
    <row r="20" spans="1:10" x14ac:dyDescent="0.3">
      <c r="A20" s="1">
        <v>46045</v>
      </c>
      <c r="B20" s="2" t="s">
        <v>81</v>
      </c>
      <c r="C20" s="2" t="s">
        <v>82</v>
      </c>
      <c r="D20" s="2" t="s">
        <v>79</v>
      </c>
      <c r="E20">
        <v>46.06</v>
      </c>
      <c r="F20" s="2" t="s">
        <v>9</v>
      </c>
      <c r="I20" t="str">
        <v>Auto &amp; Transport</v>
      </c>
      <c r="J20">
        <f>SUMIF(visa_202601[Category], $I20, visa_202601[Amount])</f>
        <v>95.64</v>
      </c>
    </row>
    <row r="21" spans="1:10" x14ac:dyDescent="0.3">
      <c r="A21" s="1">
        <v>46045</v>
      </c>
      <c r="B21" s="2" t="s">
        <v>81</v>
      </c>
      <c r="C21" s="2" t="s">
        <v>82</v>
      </c>
      <c r="D21" s="2" t="s">
        <v>79</v>
      </c>
      <c r="E21">
        <v>8.85</v>
      </c>
      <c r="F21" s="2" t="s">
        <v>9</v>
      </c>
      <c r="I21" t="str">
        <v>Coffee Shops</v>
      </c>
      <c r="J21">
        <f>SUMIF(visa_202601[Category], $I21, visa_202601[Amount])</f>
        <v>67.010000000000005</v>
      </c>
    </row>
    <row r="22" spans="1:10" x14ac:dyDescent="0.3">
      <c r="A22" s="1">
        <v>46045</v>
      </c>
      <c r="B22" s="2" t="s">
        <v>70</v>
      </c>
      <c r="C22" s="2" t="s">
        <v>83</v>
      </c>
      <c r="D22" s="2" t="s">
        <v>57</v>
      </c>
      <c r="E22">
        <v>63.42</v>
      </c>
      <c r="F22" s="2" t="s">
        <v>9</v>
      </c>
      <c r="I22" t="str">
        <v>Travel</v>
      </c>
      <c r="J22">
        <f>SUMIF(visa_202601[Category], $I22, visa_202601[Amount])</f>
        <v>261.18</v>
      </c>
    </row>
    <row r="23" spans="1:10" x14ac:dyDescent="0.3">
      <c r="A23" s="1">
        <v>46045</v>
      </c>
      <c r="B23" s="2" t="s">
        <v>70</v>
      </c>
      <c r="C23" s="2" t="s">
        <v>73</v>
      </c>
      <c r="D23" s="2" t="s">
        <v>57</v>
      </c>
      <c r="E23">
        <v>35.659999999999997</v>
      </c>
      <c r="F23" s="2" t="s">
        <v>9</v>
      </c>
      <c r="I23" t="str">
        <v>Entertainment</v>
      </c>
      <c r="J23">
        <f>SUMIF(visa_202601[Category], $I23, visa_202601[Amount])</f>
        <v>246</v>
      </c>
    </row>
    <row r="24" spans="1:10" x14ac:dyDescent="0.3">
      <c r="A24" s="1">
        <v>46044</v>
      </c>
      <c r="B24" s="2" t="s">
        <v>55</v>
      </c>
      <c r="C24" s="2" t="s">
        <v>84</v>
      </c>
      <c r="D24" s="2" t="s">
        <v>57</v>
      </c>
      <c r="E24">
        <v>45.44</v>
      </c>
      <c r="F24" s="2" t="s">
        <v>9</v>
      </c>
      <c r="I24" t="str">
        <v>Sporting Goods</v>
      </c>
      <c r="J24">
        <f>SUMIF(visa_202601[Category], $I24, visa_202601[Amount])</f>
        <v>153.21</v>
      </c>
    </row>
    <row r="25" spans="1:10" x14ac:dyDescent="0.3">
      <c r="A25" s="1">
        <v>46044</v>
      </c>
      <c r="B25" s="2" t="s">
        <v>37</v>
      </c>
      <c r="C25" s="2" t="s">
        <v>85</v>
      </c>
      <c r="D25" s="2" t="s">
        <v>39</v>
      </c>
      <c r="E25">
        <v>66.510000000000005</v>
      </c>
      <c r="F25" s="2" t="s">
        <v>9</v>
      </c>
      <c r="I25" t="str">
        <v>Fees &amp; Charges</v>
      </c>
      <c r="J25">
        <f>SUMIF(visa_202601[Category], $I25, visa_202601[Amount])</f>
        <v>3.5</v>
      </c>
    </row>
    <row r="26" spans="1:10" x14ac:dyDescent="0.3">
      <c r="A26" s="1">
        <v>46043</v>
      </c>
      <c r="B26" s="2" t="s">
        <v>86</v>
      </c>
      <c r="C26" s="2" t="s">
        <v>87</v>
      </c>
      <c r="D26" s="2" t="s">
        <v>57</v>
      </c>
      <c r="E26">
        <v>142.77000000000001</v>
      </c>
      <c r="F26" s="2" t="s">
        <v>9</v>
      </c>
    </row>
    <row r="27" spans="1:10" x14ac:dyDescent="0.3">
      <c r="A27" s="1">
        <v>46043</v>
      </c>
      <c r="B27" s="2" t="s">
        <v>88</v>
      </c>
      <c r="C27" s="2" t="s">
        <v>89</v>
      </c>
      <c r="D27" s="2" t="s">
        <v>57</v>
      </c>
      <c r="E27">
        <v>177.35</v>
      </c>
      <c r="F27" s="2" t="s">
        <v>9</v>
      </c>
    </row>
    <row r="28" spans="1:10" x14ac:dyDescent="0.3">
      <c r="A28" s="1">
        <v>46043</v>
      </c>
      <c r="B28" s="2" t="s">
        <v>88</v>
      </c>
      <c r="C28" s="2" t="s">
        <v>89</v>
      </c>
      <c r="D28" s="2" t="s">
        <v>57</v>
      </c>
      <c r="E28">
        <v>2.17</v>
      </c>
      <c r="F28" s="2" t="s">
        <v>9</v>
      </c>
    </row>
    <row r="29" spans="1:10" x14ac:dyDescent="0.3">
      <c r="A29" s="1">
        <v>46042</v>
      </c>
      <c r="B29" s="2" t="s">
        <v>90</v>
      </c>
      <c r="C29" s="2" t="s">
        <v>91</v>
      </c>
      <c r="D29" s="2" t="s">
        <v>92</v>
      </c>
      <c r="E29">
        <v>183.89</v>
      </c>
      <c r="F29" s="2" t="s">
        <v>9</v>
      </c>
    </row>
    <row r="30" spans="1:10" x14ac:dyDescent="0.3">
      <c r="A30" s="1">
        <v>46042</v>
      </c>
      <c r="B30" s="2" t="s">
        <v>55</v>
      </c>
      <c r="C30" s="2" t="s">
        <v>93</v>
      </c>
      <c r="D30" s="2" t="s">
        <v>57</v>
      </c>
      <c r="E30">
        <v>38.950000000000003</v>
      </c>
      <c r="F30" s="2" t="s">
        <v>9</v>
      </c>
    </row>
    <row r="31" spans="1:10" x14ac:dyDescent="0.3">
      <c r="A31" s="1">
        <v>46042</v>
      </c>
      <c r="B31" s="2" t="s">
        <v>77</v>
      </c>
      <c r="C31" s="2" t="s">
        <v>78</v>
      </c>
      <c r="D31" s="2" t="s">
        <v>79</v>
      </c>
      <c r="E31">
        <v>2.48</v>
      </c>
      <c r="F31" s="2" t="s">
        <v>9</v>
      </c>
    </row>
    <row r="32" spans="1:10" x14ac:dyDescent="0.3">
      <c r="A32" s="1">
        <v>46042</v>
      </c>
      <c r="B32" s="2" t="s">
        <v>70</v>
      </c>
      <c r="C32" s="2" t="s">
        <v>94</v>
      </c>
      <c r="D32" s="2" t="s">
        <v>57</v>
      </c>
      <c r="E32">
        <v>-6.17</v>
      </c>
      <c r="F32" s="2" t="s">
        <v>9</v>
      </c>
    </row>
    <row r="33" spans="1:6" x14ac:dyDescent="0.3">
      <c r="A33" s="1">
        <v>46041</v>
      </c>
      <c r="B33" s="2" t="s">
        <v>70</v>
      </c>
      <c r="C33" s="2" t="s">
        <v>95</v>
      </c>
      <c r="D33" s="2" t="s">
        <v>57</v>
      </c>
      <c r="E33">
        <v>-1.78</v>
      </c>
      <c r="F33" s="2" t="s">
        <v>9</v>
      </c>
    </row>
    <row r="34" spans="1:6" x14ac:dyDescent="0.3">
      <c r="A34" s="1">
        <v>46040</v>
      </c>
      <c r="B34" s="2" t="s">
        <v>55</v>
      </c>
      <c r="C34" s="2" t="s">
        <v>96</v>
      </c>
      <c r="D34" s="2" t="s">
        <v>57</v>
      </c>
      <c r="E34">
        <v>14.98</v>
      </c>
      <c r="F34" s="2" t="s">
        <v>9</v>
      </c>
    </row>
    <row r="35" spans="1:6" x14ac:dyDescent="0.3">
      <c r="A35" s="1">
        <v>46040</v>
      </c>
      <c r="B35" s="2" t="s">
        <v>70</v>
      </c>
      <c r="C35" s="2" t="s">
        <v>71</v>
      </c>
      <c r="D35" s="2" t="s">
        <v>57</v>
      </c>
      <c r="E35">
        <v>117.61</v>
      </c>
      <c r="F35" s="2" t="s">
        <v>9</v>
      </c>
    </row>
    <row r="36" spans="1:6" x14ac:dyDescent="0.3">
      <c r="A36" s="1">
        <v>46039</v>
      </c>
      <c r="B36" s="2" t="s">
        <v>55</v>
      </c>
      <c r="C36" s="2" t="s">
        <v>97</v>
      </c>
      <c r="D36" s="2" t="s">
        <v>57</v>
      </c>
      <c r="E36">
        <v>10.79</v>
      </c>
      <c r="F36" s="2" t="s">
        <v>9</v>
      </c>
    </row>
    <row r="37" spans="1:6" x14ac:dyDescent="0.3">
      <c r="A37" s="1">
        <v>46039</v>
      </c>
      <c r="B37" s="2" t="s">
        <v>62</v>
      </c>
      <c r="C37" s="2" t="s">
        <v>72</v>
      </c>
      <c r="D37" s="2" t="s">
        <v>64</v>
      </c>
      <c r="E37">
        <v>17.899999999999999</v>
      </c>
      <c r="F37" s="2" t="s">
        <v>9</v>
      </c>
    </row>
    <row r="38" spans="1:6" x14ac:dyDescent="0.3">
      <c r="A38" s="1">
        <v>46039</v>
      </c>
      <c r="B38" s="2" t="s">
        <v>98</v>
      </c>
      <c r="C38" s="2" t="s">
        <v>99</v>
      </c>
      <c r="D38" s="2" t="s">
        <v>76</v>
      </c>
      <c r="E38">
        <v>14.03</v>
      </c>
      <c r="F38" s="2" t="s">
        <v>9</v>
      </c>
    </row>
    <row r="39" spans="1:6" x14ac:dyDescent="0.3">
      <c r="A39" s="1">
        <v>46039</v>
      </c>
      <c r="B39" s="2" t="s">
        <v>100</v>
      </c>
      <c r="C39" s="2" t="s">
        <v>101</v>
      </c>
      <c r="D39" s="2" t="s">
        <v>102</v>
      </c>
      <c r="E39">
        <v>8.8000000000000007</v>
      </c>
      <c r="F39" s="2" t="s">
        <v>9</v>
      </c>
    </row>
    <row r="40" spans="1:6" x14ac:dyDescent="0.3">
      <c r="A40" s="1">
        <v>46037</v>
      </c>
      <c r="B40" s="2" t="s">
        <v>103</v>
      </c>
      <c r="C40" s="2" t="s">
        <v>104</v>
      </c>
      <c r="D40" s="2" t="s">
        <v>105</v>
      </c>
      <c r="E40">
        <v>26.5</v>
      </c>
      <c r="F40" s="2" t="s">
        <v>9</v>
      </c>
    </row>
    <row r="41" spans="1:6" x14ac:dyDescent="0.3">
      <c r="A41" s="1">
        <v>46037</v>
      </c>
      <c r="B41" s="2" t="s">
        <v>103</v>
      </c>
      <c r="C41" s="2" t="s">
        <v>104</v>
      </c>
      <c r="D41" s="2" t="s">
        <v>105</v>
      </c>
      <c r="E41">
        <v>13.53</v>
      </c>
      <c r="F41" s="2" t="s">
        <v>9</v>
      </c>
    </row>
    <row r="42" spans="1:6" x14ac:dyDescent="0.3">
      <c r="A42" s="1">
        <v>46037</v>
      </c>
      <c r="B42" s="2" t="s">
        <v>62</v>
      </c>
      <c r="C42" s="2" t="s">
        <v>106</v>
      </c>
      <c r="D42" s="2" t="s">
        <v>64</v>
      </c>
      <c r="E42">
        <v>43.72</v>
      </c>
      <c r="F42" s="2" t="s">
        <v>9</v>
      </c>
    </row>
    <row r="43" spans="1:6" x14ac:dyDescent="0.3">
      <c r="A43" s="1">
        <v>46037</v>
      </c>
      <c r="B43" s="2" t="s">
        <v>65</v>
      </c>
      <c r="C43" s="2" t="s">
        <v>107</v>
      </c>
      <c r="D43" s="2" t="s">
        <v>39</v>
      </c>
      <c r="E43">
        <v>25.82</v>
      </c>
      <c r="F43" s="2" t="s">
        <v>9</v>
      </c>
    </row>
    <row r="44" spans="1:6" x14ac:dyDescent="0.3">
      <c r="A44" s="1">
        <v>46036</v>
      </c>
      <c r="B44" s="2" t="s">
        <v>10</v>
      </c>
      <c r="C44" s="2" t="s">
        <v>67</v>
      </c>
      <c r="D44" s="2" t="s">
        <v>12</v>
      </c>
      <c r="E44">
        <v>-2984.25</v>
      </c>
      <c r="F44" s="2" t="s">
        <v>9</v>
      </c>
    </row>
    <row r="45" spans="1:6" x14ac:dyDescent="0.3">
      <c r="A45" s="1">
        <v>46036</v>
      </c>
      <c r="B45" s="2" t="s">
        <v>108</v>
      </c>
      <c r="C45" s="2" t="s">
        <v>109</v>
      </c>
      <c r="D45" s="2" t="s">
        <v>110</v>
      </c>
      <c r="E45">
        <v>10</v>
      </c>
      <c r="F45" s="2" t="s">
        <v>9</v>
      </c>
    </row>
    <row r="46" spans="1:6" x14ac:dyDescent="0.3">
      <c r="A46" s="1">
        <v>46036</v>
      </c>
      <c r="B46" s="2" t="s">
        <v>111</v>
      </c>
      <c r="C46" s="2" t="s">
        <v>112</v>
      </c>
      <c r="D46" s="2" t="s">
        <v>113</v>
      </c>
      <c r="E46">
        <v>-151.55000000000001</v>
      </c>
      <c r="F46" s="2" t="s">
        <v>9</v>
      </c>
    </row>
    <row r="47" spans="1:6" x14ac:dyDescent="0.3">
      <c r="A47" s="1">
        <v>46035</v>
      </c>
      <c r="B47" s="2" t="s">
        <v>55</v>
      </c>
      <c r="C47" s="2" t="s">
        <v>114</v>
      </c>
      <c r="D47" s="2" t="s">
        <v>57</v>
      </c>
      <c r="E47">
        <v>24.29</v>
      </c>
      <c r="F47" s="2" t="s">
        <v>9</v>
      </c>
    </row>
    <row r="48" spans="1:6" x14ac:dyDescent="0.3">
      <c r="A48" s="1">
        <v>46035</v>
      </c>
      <c r="B48" s="2" t="s">
        <v>115</v>
      </c>
      <c r="C48" s="2" t="s">
        <v>116</v>
      </c>
      <c r="D48" s="2" t="s">
        <v>117</v>
      </c>
      <c r="E48">
        <v>26.26</v>
      </c>
      <c r="F48" s="2" t="s">
        <v>9</v>
      </c>
    </row>
    <row r="49" spans="1:6" x14ac:dyDescent="0.3">
      <c r="A49" s="1">
        <v>46034</v>
      </c>
      <c r="B49" s="2" t="s">
        <v>118</v>
      </c>
      <c r="C49" s="2" t="s">
        <v>119</v>
      </c>
      <c r="D49" s="2" t="s">
        <v>113</v>
      </c>
      <c r="E49">
        <v>151.55000000000001</v>
      </c>
      <c r="F49" s="2" t="s">
        <v>9</v>
      </c>
    </row>
    <row r="50" spans="1:6" x14ac:dyDescent="0.3">
      <c r="A50" s="1">
        <v>46034</v>
      </c>
      <c r="B50" s="2" t="s">
        <v>62</v>
      </c>
      <c r="C50" s="2" t="s">
        <v>106</v>
      </c>
      <c r="D50" s="2" t="s">
        <v>64</v>
      </c>
      <c r="E50">
        <v>69.13</v>
      </c>
      <c r="F50" s="2" t="s">
        <v>9</v>
      </c>
    </row>
    <row r="51" spans="1:6" x14ac:dyDescent="0.3">
      <c r="A51" s="1">
        <v>46033</v>
      </c>
      <c r="B51" s="2" t="s">
        <v>120</v>
      </c>
      <c r="C51" s="2" t="s">
        <v>121</v>
      </c>
      <c r="D51" s="2" t="s">
        <v>122</v>
      </c>
      <c r="E51">
        <v>40.770000000000003</v>
      </c>
      <c r="F51" s="2" t="s">
        <v>9</v>
      </c>
    </row>
    <row r="52" spans="1:6" x14ac:dyDescent="0.3">
      <c r="A52" s="1">
        <v>46033</v>
      </c>
      <c r="B52" s="2" t="s">
        <v>123</v>
      </c>
      <c r="C52" s="2" t="s">
        <v>124</v>
      </c>
      <c r="D52" s="2" t="s">
        <v>79</v>
      </c>
      <c r="E52">
        <v>14.48</v>
      </c>
      <c r="F52" s="2" t="s">
        <v>9</v>
      </c>
    </row>
    <row r="53" spans="1:6" x14ac:dyDescent="0.3">
      <c r="A53" s="1">
        <v>46032</v>
      </c>
      <c r="B53" s="2" t="s">
        <v>62</v>
      </c>
      <c r="C53" s="2" t="s">
        <v>106</v>
      </c>
      <c r="D53" s="2" t="s">
        <v>64</v>
      </c>
      <c r="E53">
        <v>27.04</v>
      </c>
      <c r="F53" s="2" t="s">
        <v>9</v>
      </c>
    </row>
    <row r="54" spans="1:6" x14ac:dyDescent="0.3">
      <c r="A54" s="1">
        <v>46032</v>
      </c>
      <c r="B54" s="2" t="s">
        <v>125</v>
      </c>
      <c r="C54" s="2" t="s">
        <v>126</v>
      </c>
      <c r="D54" s="2" t="s">
        <v>79</v>
      </c>
      <c r="E54">
        <v>6.05</v>
      </c>
      <c r="F54" s="2" t="s">
        <v>9</v>
      </c>
    </row>
    <row r="55" spans="1:6" x14ac:dyDescent="0.3">
      <c r="A55" s="1">
        <v>46031</v>
      </c>
      <c r="B55" s="2" t="s">
        <v>70</v>
      </c>
      <c r="C55" s="2" t="s">
        <v>127</v>
      </c>
      <c r="D55" s="2" t="s">
        <v>57</v>
      </c>
      <c r="E55">
        <v>-10.26</v>
      </c>
      <c r="F55" s="2" t="s">
        <v>9</v>
      </c>
    </row>
    <row r="56" spans="1:6" x14ac:dyDescent="0.3">
      <c r="A56" s="1">
        <v>46030</v>
      </c>
      <c r="B56" s="2" t="s">
        <v>62</v>
      </c>
      <c r="C56" s="2" t="s">
        <v>106</v>
      </c>
      <c r="D56" s="2" t="s">
        <v>64</v>
      </c>
      <c r="E56">
        <v>71.09</v>
      </c>
      <c r="F56" s="2" t="s">
        <v>9</v>
      </c>
    </row>
    <row r="57" spans="1:6" x14ac:dyDescent="0.3">
      <c r="A57" s="1">
        <v>46030</v>
      </c>
      <c r="B57" s="2" t="s">
        <v>55</v>
      </c>
      <c r="C57" s="2" t="s">
        <v>128</v>
      </c>
      <c r="D57" s="2" t="s">
        <v>57</v>
      </c>
      <c r="E57">
        <v>9.6</v>
      </c>
      <c r="F57" s="2" t="s">
        <v>9</v>
      </c>
    </row>
    <row r="58" spans="1:6" x14ac:dyDescent="0.3">
      <c r="A58" s="1">
        <v>46029</v>
      </c>
      <c r="B58" s="2" t="s">
        <v>129</v>
      </c>
      <c r="C58" s="2" t="s">
        <v>130</v>
      </c>
      <c r="D58" s="2" t="s">
        <v>131</v>
      </c>
      <c r="E58">
        <v>21</v>
      </c>
      <c r="F58" s="2" t="s">
        <v>9</v>
      </c>
    </row>
    <row r="59" spans="1:6" x14ac:dyDescent="0.3">
      <c r="A59" s="1">
        <v>46029</v>
      </c>
      <c r="B59" s="2" t="s">
        <v>132</v>
      </c>
      <c r="C59" s="2" t="s">
        <v>133</v>
      </c>
      <c r="D59" s="2" t="s">
        <v>134</v>
      </c>
      <c r="E59">
        <v>95.64</v>
      </c>
      <c r="F59" s="2" t="s">
        <v>9</v>
      </c>
    </row>
    <row r="60" spans="1:6" x14ac:dyDescent="0.3">
      <c r="A60" s="1">
        <v>46029</v>
      </c>
      <c r="B60" s="2" t="s">
        <v>70</v>
      </c>
      <c r="C60" s="2" t="s">
        <v>135</v>
      </c>
      <c r="D60" s="2" t="s">
        <v>57</v>
      </c>
      <c r="E60">
        <v>-3.97</v>
      </c>
      <c r="F60" s="2" t="s">
        <v>9</v>
      </c>
    </row>
    <row r="61" spans="1:6" x14ac:dyDescent="0.3">
      <c r="A61" s="1">
        <v>46028</v>
      </c>
      <c r="B61" s="2" t="s">
        <v>70</v>
      </c>
      <c r="C61" s="2" t="s">
        <v>71</v>
      </c>
      <c r="D61" s="2" t="s">
        <v>57</v>
      </c>
      <c r="E61">
        <v>5.21</v>
      </c>
      <c r="F61" s="2" t="s">
        <v>9</v>
      </c>
    </row>
    <row r="62" spans="1:6" x14ac:dyDescent="0.3">
      <c r="A62" s="1">
        <v>46028</v>
      </c>
      <c r="B62" s="2" t="s">
        <v>70</v>
      </c>
      <c r="C62" s="2" t="s">
        <v>73</v>
      </c>
      <c r="D62" s="2" t="s">
        <v>57</v>
      </c>
      <c r="E62">
        <v>46.99</v>
      </c>
      <c r="F62" s="2" t="s">
        <v>9</v>
      </c>
    </row>
    <row r="63" spans="1:6" x14ac:dyDescent="0.3">
      <c r="A63" s="1">
        <v>46028</v>
      </c>
      <c r="B63" s="2" t="s">
        <v>10</v>
      </c>
      <c r="C63" s="2" t="s">
        <v>67</v>
      </c>
      <c r="D63" s="2" t="s">
        <v>12</v>
      </c>
      <c r="E63">
        <v>-1938.12</v>
      </c>
      <c r="F63" s="2" t="s">
        <v>9</v>
      </c>
    </row>
    <row r="64" spans="1:6" x14ac:dyDescent="0.3">
      <c r="A64" s="1">
        <v>46027</v>
      </c>
      <c r="B64" s="2" t="s">
        <v>136</v>
      </c>
      <c r="C64" s="2" t="s">
        <v>137</v>
      </c>
      <c r="D64" s="2" t="s">
        <v>138</v>
      </c>
      <c r="E64">
        <v>18.809999999999999</v>
      </c>
      <c r="F64" s="2" t="s">
        <v>9</v>
      </c>
    </row>
    <row r="65" spans="1:6" x14ac:dyDescent="0.3">
      <c r="A65" s="1">
        <v>46027</v>
      </c>
      <c r="B65" s="2" t="s">
        <v>55</v>
      </c>
      <c r="C65" s="2" t="s">
        <v>139</v>
      </c>
      <c r="D65" s="2" t="s">
        <v>57</v>
      </c>
      <c r="E65">
        <v>8.11</v>
      </c>
      <c r="F65" s="2" t="s">
        <v>9</v>
      </c>
    </row>
    <row r="66" spans="1:6" x14ac:dyDescent="0.3">
      <c r="A66" s="1">
        <v>46027</v>
      </c>
      <c r="B66" s="2" t="s">
        <v>140</v>
      </c>
      <c r="C66" s="2" t="s">
        <v>141</v>
      </c>
      <c r="D66" s="2" t="s">
        <v>79</v>
      </c>
      <c r="E66">
        <v>6.93</v>
      </c>
      <c r="F66" s="2" t="s">
        <v>9</v>
      </c>
    </row>
    <row r="67" spans="1:6" x14ac:dyDescent="0.3">
      <c r="A67" s="1">
        <v>46026</v>
      </c>
      <c r="B67" s="2" t="s">
        <v>142</v>
      </c>
      <c r="C67" s="2" t="s">
        <v>143</v>
      </c>
      <c r="D67" s="2" t="s">
        <v>122</v>
      </c>
      <c r="E67">
        <v>33.15</v>
      </c>
      <c r="F67" s="2" t="s">
        <v>9</v>
      </c>
    </row>
    <row r="68" spans="1:6" x14ac:dyDescent="0.3">
      <c r="A68" s="1">
        <v>46026</v>
      </c>
      <c r="B68" s="2" t="s">
        <v>144</v>
      </c>
      <c r="C68" s="2" t="s">
        <v>145</v>
      </c>
      <c r="D68" s="2" t="s">
        <v>64</v>
      </c>
      <c r="E68">
        <v>3.57</v>
      </c>
      <c r="F68" s="2" t="s">
        <v>9</v>
      </c>
    </row>
    <row r="69" spans="1:6" x14ac:dyDescent="0.3">
      <c r="A69" s="1">
        <v>46026</v>
      </c>
      <c r="B69" s="2" t="s">
        <v>146</v>
      </c>
      <c r="C69" s="2" t="s">
        <v>147</v>
      </c>
      <c r="D69" s="2" t="s">
        <v>122</v>
      </c>
      <c r="E69">
        <v>52.29</v>
      </c>
      <c r="F69" s="2" t="s">
        <v>9</v>
      </c>
    </row>
    <row r="70" spans="1:6" x14ac:dyDescent="0.3">
      <c r="A70" s="1">
        <v>46026</v>
      </c>
      <c r="B70" s="2" t="s">
        <v>148</v>
      </c>
      <c r="C70" s="2" t="s">
        <v>149</v>
      </c>
      <c r="D70" s="2" t="s">
        <v>122</v>
      </c>
      <c r="E70">
        <v>64</v>
      </c>
      <c r="F70" s="2" t="s">
        <v>9</v>
      </c>
    </row>
    <row r="71" spans="1:6" x14ac:dyDescent="0.3">
      <c r="A71" s="1">
        <v>46026</v>
      </c>
      <c r="B71" s="2" t="s">
        <v>150</v>
      </c>
      <c r="C71" s="2" t="s">
        <v>151</v>
      </c>
      <c r="D71" s="2" t="s">
        <v>138</v>
      </c>
      <c r="E71">
        <v>12.43</v>
      </c>
      <c r="F71" s="2" t="s">
        <v>9</v>
      </c>
    </row>
    <row r="72" spans="1:6" x14ac:dyDescent="0.3">
      <c r="A72" s="1">
        <v>46026</v>
      </c>
      <c r="B72" s="2" t="s">
        <v>152</v>
      </c>
      <c r="C72" s="2" t="s">
        <v>153</v>
      </c>
      <c r="D72" s="2" t="s">
        <v>39</v>
      </c>
      <c r="E72">
        <v>37.369999999999997</v>
      </c>
      <c r="F72" s="2" t="s">
        <v>9</v>
      </c>
    </row>
    <row r="73" spans="1:6" x14ac:dyDescent="0.3">
      <c r="A73" s="1">
        <v>46026</v>
      </c>
      <c r="B73" s="2" t="s">
        <v>152</v>
      </c>
      <c r="C73" s="2" t="s">
        <v>153</v>
      </c>
      <c r="D73" s="2" t="s">
        <v>79</v>
      </c>
      <c r="E73">
        <v>27.18</v>
      </c>
      <c r="F73" s="2" t="s">
        <v>9</v>
      </c>
    </row>
    <row r="74" spans="1:6" x14ac:dyDescent="0.3">
      <c r="A74" s="1">
        <v>46026</v>
      </c>
      <c r="B74" s="2" t="s">
        <v>154</v>
      </c>
      <c r="C74" s="2" t="s">
        <v>155</v>
      </c>
      <c r="D74" s="2" t="s">
        <v>131</v>
      </c>
      <c r="E74">
        <v>18</v>
      </c>
      <c r="F74" s="2" t="s">
        <v>9</v>
      </c>
    </row>
    <row r="75" spans="1:6" x14ac:dyDescent="0.3">
      <c r="A75" s="1">
        <v>46025</v>
      </c>
      <c r="B75" s="2" t="s">
        <v>156</v>
      </c>
      <c r="C75" s="2" t="s">
        <v>157</v>
      </c>
      <c r="D75" s="2" t="s">
        <v>158</v>
      </c>
      <c r="E75">
        <v>155.72999999999999</v>
      </c>
      <c r="F75" s="2" t="s">
        <v>9</v>
      </c>
    </row>
    <row r="76" spans="1:6" x14ac:dyDescent="0.3">
      <c r="A76" s="1">
        <v>46025</v>
      </c>
      <c r="B76" s="2" t="s">
        <v>70</v>
      </c>
      <c r="C76" s="2" t="s">
        <v>159</v>
      </c>
      <c r="D76" s="2" t="s">
        <v>57</v>
      </c>
      <c r="E76">
        <v>60.77</v>
      </c>
      <c r="F76" s="2" t="s">
        <v>9</v>
      </c>
    </row>
    <row r="77" spans="1:6" x14ac:dyDescent="0.3">
      <c r="A77" s="1">
        <v>46025</v>
      </c>
      <c r="B77" s="2" t="s">
        <v>152</v>
      </c>
      <c r="C77" s="2" t="s">
        <v>160</v>
      </c>
      <c r="D77" s="2" t="s">
        <v>39</v>
      </c>
      <c r="E77">
        <v>74.55</v>
      </c>
      <c r="F77" s="2" t="s">
        <v>9</v>
      </c>
    </row>
    <row r="78" spans="1:6" x14ac:dyDescent="0.3">
      <c r="A78" s="1">
        <v>46025</v>
      </c>
      <c r="B78" s="2" t="s">
        <v>152</v>
      </c>
      <c r="C78" s="2" t="s">
        <v>160</v>
      </c>
      <c r="D78" s="2" t="s">
        <v>79</v>
      </c>
      <c r="E78">
        <v>11</v>
      </c>
      <c r="F78" s="2" t="s">
        <v>9</v>
      </c>
    </row>
    <row r="79" spans="1:6" x14ac:dyDescent="0.3">
      <c r="A79" s="1">
        <v>46025</v>
      </c>
      <c r="B79" s="2" t="s">
        <v>161</v>
      </c>
      <c r="C79" s="2" t="s">
        <v>162</v>
      </c>
      <c r="D79" s="2" t="s">
        <v>138</v>
      </c>
      <c r="E79">
        <v>11.9</v>
      </c>
      <c r="F79" s="2" t="s">
        <v>9</v>
      </c>
    </row>
    <row r="80" spans="1:6" x14ac:dyDescent="0.3">
      <c r="A80" s="1">
        <v>46025</v>
      </c>
      <c r="B80" s="2" t="s">
        <v>163</v>
      </c>
      <c r="C80" s="2" t="s">
        <v>164</v>
      </c>
      <c r="D80" s="2" t="s">
        <v>165</v>
      </c>
      <c r="E80">
        <v>92.16</v>
      </c>
      <c r="F80" s="2" t="s">
        <v>9</v>
      </c>
    </row>
    <row r="81" spans="1:6" x14ac:dyDescent="0.3">
      <c r="A81" s="1">
        <v>46024</v>
      </c>
      <c r="B81" s="2" t="s">
        <v>156</v>
      </c>
      <c r="C81" s="2" t="s">
        <v>166</v>
      </c>
      <c r="D81" s="2" t="s">
        <v>158</v>
      </c>
      <c r="E81">
        <v>105.45</v>
      </c>
      <c r="F81" s="2" t="s">
        <v>9</v>
      </c>
    </row>
    <row r="82" spans="1:6" x14ac:dyDescent="0.3">
      <c r="A82" s="1">
        <v>46024</v>
      </c>
      <c r="B82" s="2" t="s">
        <v>68</v>
      </c>
      <c r="C82" s="2" t="s">
        <v>167</v>
      </c>
      <c r="D82" s="2" t="s">
        <v>57</v>
      </c>
      <c r="E82">
        <v>3.17</v>
      </c>
      <c r="F82" s="2" t="s">
        <v>9</v>
      </c>
    </row>
    <row r="83" spans="1:6" x14ac:dyDescent="0.3">
      <c r="A83" s="1">
        <v>46024</v>
      </c>
      <c r="B83" s="2" t="s">
        <v>168</v>
      </c>
      <c r="C83" s="2" t="s">
        <v>169</v>
      </c>
      <c r="D83" s="2" t="s">
        <v>165</v>
      </c>
      <c r="E83">
        <v>153.84</v>
      </c>
      <c r="F83" s="2" t="s">
        <v>9</v>
      </c>
    </row>
    <row r="84" spans="1:6" x14ac:dyDescent="0.3">
      <c r="A84" s="1">
        <v>46024</v>
      </c>
      <c r="B84" s="2" t="s">
        <v>136</v>
      </c>
      <c r="C84" s="2" t="s">
        <v>170</v>
      </c>
      <c r="D84" s="2" t="s">
        <v>138</v>
      </c>
      <c r="E84">
        <v>10.68</v>
      </c>
      <c r="F84" s="2" t="s">
        <v>9</v>
      </c>
    </row>
    <row r="85" spans="1:6" x14ac:dyDescent="0.3">
      <c r="A85" s="1">
        <v>46024</v>
      </c>
      <c r="B85" s="2" t="s">
        <v>152</v>
      </c>
      <c r="C85" s="2" t="s">
        <v>171</v>
      </c>
      <c r="D85" s="2" t="s">
        <v>79</v>
      </c>
      <c r="E85">
        <v>11.17</v>
      </c>
      <c r="F85" s="2" t="s">
        <v>9</v>
      </c>
    </row>
    <row r="86" spans="1:6" x14ac:dyDescent="0.3">
      <c r="A86" s="1">
        <v>46024</v>
      </c>
      <c r="B86" s="2" t="s">
        <v>172</v>
      </c>
      <c r="C86" s="2" t="s">
        <v>173</v>
      </c>
      <c r="D86" s="2" t="s">
        <v>122</v>
      </c>
      <c r="E86">
        <v>31.56</v>
      </c>
      <c r="F86" s="2" t="s">
        <v>9</v>
      </c>
    </row>
    <row r="87" spans="1:6" x14ac:dyDescent="0.3">
      <c r="A87" s="1">
        <v>46024</v>
      </c>
      <c r="B87" s="2" t="s">
        <v>174</v>
      </c>
      <c r="C87" s="2" t="s">
        <v>175</v>
      </c>
      <c r="D87" s="2" t="s">
        <v>39</v>
      </c>
      <c r="E87">
        <v>6.78</v>
      </c>
      <c r="F87" s="2" t="s">
        <v>9</v>
      </c>
    </row>
    <row r="88" spans="1:6" x14ac:dyDescent="0.3">
      <c r="A88" s="1">
        <v>46024</v>
      </c>
      <c r="B88" s="2" t="s">
        <v>176</v>
      </c>
      <c r="C88" s="2" t="s">
        <v>177</v>
      </c>
      <c r="D88" s="2" t="s">
        <v>122</v>
      </c>
      <c r="E88">
        <v>89.68</v>
      </c>
      <c r="F88" s="2" t="s">
        <v>9</v>
      </c>
    </row>
    <row r="89" spans="1:6" x14ac:dyDescent="0.3">
      <c r="A89" s="1">
        <v>46024</v>
      </c>
      <c r="B89" s="2" t="s">
        <v>77</v>
      </c>
      <c r="C89" s="2" t="s">
        <v>178</v>
      </c>
      <c r="D89" s="2" t="s">
        <v>79</v>
      </c>
      <c r="E89">
        <v>3.5</v>
      </c>
      <c r="F89" s="2" t="s">
        <v>9</v>
      </c>
    </row>
    <row r="90" spans="1:6" x14ac:dyDescent="0.3">
      <c r="A90" s="1">
        <v>46024</v>
      </c>
      <c r="B90" s="2" t="s">
        <v>179</v>
      </c>
      <c r="C90" s="2" t="s">
        <v>180</v>
      </c>
      <c r="D90" s="2" t="s">
        <v>181</v>
      </c>
      <c r="E90">
        <v>48.73</v>
      </c>
      <c r="F90" s="2" t="s">
        <v>9</v>
      </c>
    </row>
    <row r="91" spans="1:6" x14ac:dyDescent="0.3">
      <c r="A91" s="1">
        <v>46024</v>
      </c>
      <c r="B91" s="2" t="s">
        <v>182</v>
      </c>
      <c r="C91" s="2" t="s">
        <v>183</v>
      </c>
      <c r="D91" s="2" t="s">
        <v>76</v>
      </c>
      <c r="E91">
        <v>11.9</v>
      </c>
      <c r="F91" s="2" t="s">
        <v>9</v>
      </c>
    </row>
    <row r="92" spans="1:6" x14ac:dyDescent="0.3">
      <c r="A92" s="1">
        <v>46024</v>
      </c>
      <c r="B92" s="2" t="s">
        <v>184</v>
      </c>
      <c r="C92" s="2" t="s">
        <v>185</v>
      </c>
      <c r="D92" s="2" t="s">
        <v>79</v>
      </c>
      <c r="E92">
        <v>36.08</v>
      </c>
      <c r="F92" s="2" t="s">
        <v>9</v>
      </c>
    </row>
    <row r="93" spans="1:6" x14ac:dyDescent="0.3">
      <c r="A93" s="1">
        <v>46024</v>
      </c>
      <c r="B93" s="2" t="s">
        <v>186</v>
      </c>
      <c r="C93" s="2" t="s">
        <v>187</v>
      </c>
      <c r="D93" s="2" t="s">
        <v>188</v>
      </c>
      <c r="E93">
        <v>3.5</v>
      </c>
      <c r="F93" s="2" t="s">
        <v>9</v>
      </c>
    </row>
    <row r="94" spans="1:6" x14ac:dyDescent="0.3">
      <c r="A94" s="1">
        <v>46024</v>
      </c>
      <c r="B94" s="2" t="s">
        <v>189</v>
      </c>
      <c r="C94" s="2" t="s">
        <v>190</v>
      </c>
      <c r="D94" s="2" t="s">
        <v>117</v>
      </c>
      <c r="E94">
        <v>83.21</v>
      </c>
      <c r="F94" s="2" t="s">
        <v>9</v>
      </c>
    </row>
    <row r="95" spans="1:6" x14ac:dyDescent="0.3">
      <c r="A95" s="1">
        <v>46023</v>
      </c>
      <c r="B95" s="2" t="s">
        <v>152</v>
      </c>
      <c r="C95" s="2" t="s">
        <v>191</v>
      </c>
      <c r="D95" s="2" t="s">
        <v>39</v>
      </c>
      <c r="E95">
        <v>52.79</v>
      </c>
      <c r="F95" s="2" t="s">
        <v>9</v>
      </c>
    </row>
    <row r="96" spans="1:6" x14ac:dyDescent="0.3">
      <c r="A96" s="1">
        <v>46023</v>
      </c>
      <c r="B96" s="2" t="s">
        <v>152</v>
      </c>
      <c r="C96" s="2" t="s">
        <v>191</v>
      </c>
      <c r="D96" s="2" t="s">
        <v>79</v>
      </c>
      <c r="E96">
        <v>25.35</v>
      </c>
      <c r="F96" s="2" t="s">
        <v>9</v>
      </c>
    </row>
    <row r="97" spans="1:6" x14ac:dyDescent="0.3">
      <c r="A97" s="1">
        <v>46023</v>
      </c>
      <c r="B97" s="2" t="s">
        <v>192</v>
      </c>
      <c r="C97" s="2" t="s">
        <v>193</v>
      </c>
      <c r="D97" s="2" t="s">
        <v>181</v>
      </c>
      <c r="E97">
        <v>104.48</v>
      </c>
      <c r="F97" s="2" t="s">
        <v>9</v>
      </c>
    </row>
    <row r="98" spans="1:6" x14ac:dyDescent="0.3">
      <c r="A98" s="1">
        <v>46023</v>
      </c>
      <c r="B98" s="2" t="s">
        <v>136</v>
      </c>
      <c r="C98" s="2" t="s">
        <v>194</v>
      </c>
      <c r="D98" s="2" t="s">
        <v>138</v>
      </c>
      <c r="E98">
        <v>13.19</v>
      </c>
      <c r="F98" s="2" t="s">
        <v>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47D47F-0CCD-4562-8E72-4DCD9C7B6D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Checkings_202601</vt:lpstr>
      <vt:lpstr>Visa_202601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Pope</dc:creator>
  <cp:lastModifiedBy>Justin Pope</cp:lastModifiedBy>
  <dcterms:created xsi:type="dcterms:W3CDTF">2026-02-06T12:33:59Z</dcterms:created>
  <dcterms:modified xsi:type="dcterms:W3CDTF">2026-02-06T14:42:51Z</dcterms:modified>
</cp:coreProperties>
</file>